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bira\OneDrive\Desktop\BA\assignments\Excel\Project\"/>
    </mc:Choice>
  </mc:AlternateContent>
  <xr:revisionPtr revIDLastSave="0" documentId="13_ncr:1_{C2816835-CEB5-4D61-9646-731E0EBC94C5}" xr6:coauthVersionLast="47" xr6:coauthVersionMax="47" xr10:uidLastSave="{00000000-0000-0000-0000-000000000000}"/>
  <bookViews>
    <workbookView xWindow="-120" yWindow="-120" windowWidth="38640" windowHeight="21120" activeTab="1" xr2:uid="{00000000-000D-0000-FFFF-FFFF00000000}"/>
  </bookViews>
  <sheets>
    <sheet name="Project Information" sheetId="1" r:id="rId1"/>
    <sheet name="Project Workshee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95" i="2" l="1"/>
  <c r="B28" i="2"/>
  <c r="A29" i="2"/>
  <c r="A30" i="2" s="1"/>
  <c r="A31" i="2" s="1"/>
  <c r="A32" i="2" s="1"/>
  <c r="A33" i="2" s="1"/>
  <c r="A34" i="2" s="1"/>
  <c r="A35" i="2" s="1"/>
  <c r="C30" i="2"/>
  <c r="E12" i="2"/>
  <c r="B14" i="2"/>
  <c r="B12" i="2"/>
  <c r="C29" i="2" l="1"/>
  <c r="C33" i="2"/>
  <c r="B29" i="2"/>
  <c r="B30" i="2" s="1"/>
  <c r="B31" i="2" s="1"/>
  <c r="B32" i="2" s="1"/>
  <c r="C28" i="2"/>
  <c r="C32" i="2"/>
  <c r="C35" i="2"/>
  <c r="C34" i="2"/>
  <c r="C31" i="2"/>
  <c r="B33" i="2" l="1"/>
  <c r="B34" i="2" s="1"/>
  <c r="B35" i="2" s="1"/>
</calcChain>
</file>

<file path=xl/sharedStrings.xml><?xml version="1.0" encoding="utf-8"?>
<sst xmlns="http://schemas.openxmlformats.org/spreadsheetml/2006/main" count="103" uniqueCount="51">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</sst>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8" formatCode="&quot;₹&quot;\ #,##0.00;[Red]&quot;₹&quot;\ \-#,##0.00"/>
    <numFmt numFmtId="164" formatCode="dd\/mmm\/yyyy"/>
    <numFmt numFmtId="165" formatCode="d\/m\/yyyy"/>
    <numFmt numFmtId="166" formatCode="[$$-45C]#,##0.00"/>
  </numFmts>
  <fonts count="6"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s>
  <fills count="3">
    <fill>
      <patternFill patternType="none"/>
    </fill>
    <fill>
      <patternFill patternType="gray125"/>
    </fill>
    <fill>
      <patternFill patternType="solid">
        <fgColor theme="1"/>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s>
  <cellStyleXfs count="1">
    <xf numFmtId="0" fontId="0" fillId="0" borderId="0"/>
  </cellStyleXfs>
  <cellXfs count="110">
    <xf numFmtId="0" fontId="0" fillId="0" borderId="0" xfId="0"/>
    <xf numFmtId="0" fontId="0" fillId="0" borderId="0" xfId="0" applyAlignment="1">
      <alignment horizontal="center"/>
    </xf>
    <xf numFmtId="0" fontId="0" fillId="0" borderId="1" xfId="0" applyBorder="1" applyAlignment="1">
      <alignment horizontal="center"/>
    </xf>
    <xf numFmtId="0" fontId="0" fillId="0" borderId="0" xfId="0" applyAlignment="1"/>
    <xf numFmtId="8" fontId="0" fillId="0" borderId="1" xfId="0" applyNumberFormat="1" applyBorder="1" applyAlignment="1">
      <alignment horizontal="center"/>
    </xf>
    <xf numFmtId="0" fontId="1" fillId="0" borderId="1" xfId="0" applyFont="1" applyBorder="1" applyAlignment="1">
      <alignment horizontal="center"/>
    </xf>
    <xf numFmtId="6"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8" fontId="2" fillId="2" borderId="1" xfId="0" applyNumberFormat="1" applyFont="1" applyFill="1" applyBorder="1" applyAlignment="1">
      <alignment horizontal="center"/>
    </xf>
    <xf numFmtId="8" fontId="1" fillId="2" borderId="1" xfId="0" applyNumberFormat="1" applyFont="1" applyFill="1" applyBorder="1" applyAlignment="1">
      <alignment horizontal="center"/>
    </xf>
    <xf numFmtId="0" fontId="0" fillId="0" borderId="9" xfId="0" applyBorder="1" applyAlignment="1">
      <alignment horizontal="center"/>
    </xf>
    <xf numFmtId="8" fontId="0" fillId="0" borderId="10" xfId="0" applyNumberFormat="1" applyBorder="1" applyAlignment="1">
      <alignment horizontal="center"/>
    </xf>
    <xf numFmtId="0" fontId="0" fillId="0" borderId="11" xfId="0" applyBorder="1" applyAlignment="1">
      <alignment horizontal="center"/>
    </xf>
    <xf numFmtId="8" fontId="0" fillId="0" borderId="12" xfId="0" applyNumberFormat="1" applyBorder="1" applyAlignment="1">
      <alignment horizontal="center"/>
    </xf>
    <xf numFmtId="8" fontId="0" fillId="0" borderId="13" xfId="0" applyNumberFormat="1" applyBorder="1" applyAlignment="1">
      <alignment horizontal="center"/>
    </xf>
    <xf numFmtId="0" fontId="0" fillId="0" borderId="14" xfId="0" applyBorder="1" applyAlignment="1">
      <alignment horizontal="center"/>
    </xf>
    <xf numFmtId="8" fontId="0" fillId="0" borderId="3" xfId="0" applyNumberFormat="1" applyBorder="1" applyAlignment="1">
      <alignment horizontal="center"/>
    </xf>
    <xf numFmtId="8"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8"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9" fontId="0" fillId="0" borderId="10" xfId="0" applyNumberFormat="1" applyBorder="1" applyAlignment="1">
      <alignment horizontal="center"/>
    </xf>
    <xf numFmtId="0" fontId="0" fillId="0" borderId="10" xfId="0" applyNumberFormat="1" applyBorder="1" applyAlignment="1">
      <alignment horizontal="center"/>
    </xf>
    <xf numFmtId="1" fontId="0" fillId="0" borderId="13" xfId="0" applyNumberFormat="1" applyBorder="1" applyAlignment="1">
      <alignment horizontal="center"/>
    </xf>
    <xf numFmtId="0" fontId="0" fillId="0" borderId="0" xfId="0" applyBorder="1" applyAlignment="1">
      <alignment horizontal="center"/>
    </xf>
    <xf numFmtId="9" fontId="0" fillId="0" borderId="0" xfId="0" applyNumberFormat="1" applyBorder="1" applyAlignment="1">
      <alignment horizontal="center"/>
    </xf>
    <xf numFmtId="0" fontId="0" fillId="0" borderId="1" xfId="0" applyFill="1" applyBorder="1" applyAlignment="1">
      <alignment horizontal="center"/>
    </xf>
    <xf numFmtId="0" fontId="0" fillId="0" borderId="4" xfId="0" applyBorder="1" applyAlignment="1">
      <alignment horizontal="center"/>
    </xf>
    <xf numFmtId="2" fontId="0" fillId="0" borderId="6" xfId="0" applyNumberFormat="1" applyBorder="1" applyAlignment="1">
      <alignment horizontal="center"/>
    </xf>
    <xf numFmtId="164" fontId="0" fillId="0" borderId="9" xfId="0" applyNumberFormat="1" applyBorder="1" applyAlignment="1">
      <alignment horizontal="center"/>
    </xf>
    <xf numFmtId="164" fontId="0" fillId="0" borderId="11" xfId="0" applyNumberFormat="1" applyBorder="1" applyAlignment="1">
      <alignment horizontal="center"/>
    </xf>
    <xf numFmtId="0" fontId="0" fillId="0" borderId="13" xfId="0" applyBorder="1" applyAlignment="1">
      <alignment horizontal="center"/>
    </xf>
    <xf numFmtId="164" fontId="0" fillId="0" borderId="25" xfId="0" applyNumberFormat="1" applyBorder="1" applyAlignment="1">
      <alignment horizontal="center"/>
    </xf>
    <xf numFmtId="0" fontId="0" fillId="0" borderId="26" xfId="0" applyBorder="1" applyAlignment="1">
      <alignment horizontal="center"/>
    </xf>
    <xf numFmtId="2" fontId="0" fillId="0" borderId="21" xfId="0" applyNumberFormat="1" applyBorder="1" applyAlignment="1">
      <alignment horizontal="center"/>
    </xf>
    <xf numFmtId="164" fontId="0" fillId="0" borderId="11" xfId="0" applyNumberFormat="1" applyFill="1" applyBorder="1" applyAlignment="1">
      <alignment horizontal="center"/>
    </xf>
    <xf numFmtId="0" fontId="0" fillId="0" borderId="13" xfId="0" applyFill="1" applyBorder="1" applyAlignment="1">
      <alignment horizontal="center"/>
    </xf>
    <xf numFmtId="164"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8" fontId="0" fillId="0" borderId="29" xfId="0" applyNumberFormat="1" applyBorder="1" applyAlignment="1">
      <alignment horizontal="center"/>
    </xf>
    <xf numFmtId="10" fontId="0" fillId="0" borderId="11" xfId="0" applyNumberFormat="1" applyBorder="1" applyAlignment="1">
      <alignment horizontal="center"/>
    </xf>
    <xf numFmtId="8" fontId="0" fillId="0" borderId="30" xfId="0" applyNumberFormat="1" applyBorder="1" applyAlignment="1">
      <alignment horizontal="center"/>
    </xf>
    <xf numFmtId="0" fontId="0" fillId="0" borderId="31" xfId="0" applyBorder="1" applyAlignment="1">
      <alignment horizontal="center"/>
    </xf>
    <xf numFmtId="10" fontId="0" fillId="0" borderId="14" xfId="0" applyNumberFormat="1" applyBorder="1" applyAlignment="1">
      <alignment horizontal="center"/>
    </xf>
    <xf numFmtId="8" fontId="0" fillId="0" borderId="32" xfId="0" applyNumberFormat="1" applyBorder="1" applyAlignment="1">
      <alignment horizontal="center"/>
    </xf>
    <xf numFmtId="1" fontId="0" fillId="0" borderId="0" xfId="0" applyNumberFormat="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3" xfId="0" applyNumberFormat="1" applyBorder="1" applyAlignment="1">
      <alignment horizontal="center"/>
    </xf>
    <xf numFmtId="0" fontId="0" fillId="0" borderId="23" xfId="0" applyBorder="1" applyAlignment="1">
      <alignment horizontal="center"/>
    </xf>
    <xf numFmtId="0" fontId="0" fillId="0" borderId="34" xfId="0" applyBorder="1" applyAlignment="1">
      <alignment horizontal="center"/>
    </xf>
    <xf numFmtId="10" fontId="0" fillId="0" borderId="15" xfId="0" applyNumberFormat="1" applyBorder="1" applyAlignment="1">
      <alignment horizontal="center"/>
    </xf>
    <xf numFmtId="10" fontId="0" fillId="0" borderId="10" xfId="0" applyNumberFormat="1" applyBorder="1" applyAlignment="1">
      <alignment horizontal="center"/>
    </xf>
    <xf numFmtId="10" fontId="0" fillId="0" borderId="13"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9" fontId="0" fillId="0" borderId="15" xfId="0" applyNumberFormat="1" applyBorder="1" applyAlignment="1">
      <alignment horizontal="center"/>
    </xf>
    <xf numFmtId="0" fontId="0" fillId="0" borderId="19" xfId="0" applyFill="1" applyBorder="1" applyAlignment="1">
      <alignment horizontal="center"/>
    </xf>
    <xf numFmtId="10" fontId="0" fillId="0" borderId="17" xfId="0" applyNumberFormat="1" applyBorder="1" applyAlignment="1">
      <alignment horizontal="center"/>
    </xf>
    <xf numFmtId="9" fontId="0" fillId="0" borderId="18" xfId="0" applyNumberFormat="1" applyBorder="1" applyAlignment="1">
      <alignment horizontal="center"/>
    </xf>
    <xf numFmtId="8" fontId="0" fillId="0" borderId="17" xfId="0" applyNumberFormat="1" applyBorder="1" applyAlignment="1">
      <alignment horizontal="center"/>
    </xf>
    <xf numFmtId="8" fontId="0" fillId="0" borderId="18" xfId="0" applyNumberFormat="1" applyBorder="1" applyAlignment="1">
      <alignment horizontal="center"/>
    </xf>
    <xf numFmtId="165" fontId="0" fillId="0" borderId="1" xfId="0" applyNumberFormat="1" applyBorder="1" applyAlignment="1">
      <alignment horizontal="center"/>
    </xf>
    <xf numFmtId="0"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6" fontId="0" fillId="0" borderId="15" xfId="0" applyNumberFormat="1" applyBorder="1" applyAlignment="1">
      <alignment horizontal="center"/>
    </xf>
    <xf numFmtId="166" fontId="0" fillId="0" borderId="10" xfId="0" applyNumberFormat="1" applyBorder="1" applyAlignment="1">
      <alignment horizontal="center"/>
    </xf>
    <xf numFmtId="166" fontId="0" fillId="0" borderId="13"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5" fillId="2" borderId="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2000" b="1">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90" zoomScaleNormal="90" workbookViewId="0">
      <selection activeCell="L23" sqref="L23"/>
    </sheetView>
  </sheetViews>
  <sheetFormatPr defaultRowHeight="15"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tabSelected="1" zoomScaleNormal="100" workbookViewId="0">
      <selection activeCell="B7" sqref="B7"/>
    </sheetView>
  </sheetViews>
  <sheetFormatPr defaultRowHeight="15" x14ac:dyDescent="0.25"/>
  <cols>
    <col min="1" max="1" width="20.7109375" bestFit="1" customWidth="1"/>
    <col min="2" max="2" width="15.7109375" bestFit="1" customWidth="1"/>
    <col min="3" max="3" width="14.7109375" customWidth="1"/>
    <col min="4" max="4" width="38.28515625" bestFit="1" customWidth="1"/>
    <col min="5" max="5" width="12" bestFit="1" customWidth="1"/>
    <col min="6" max="6" width="15.7109375" customWidth="1"/>
  </cols>
  <sheetData>
    <row r="1" spans="1:6" ht="16.149999999999999" thickBot="1" x14ac:dyDescent="0.35">
      <c r="A1" s="100" t="s">
        <v>6</v>
      </c>
      <c r="B1" s="101"/>
      <c r="C1" s="101"/>
      <c r="D1" s="101"/>
      <c r="E1" s="102"/>
    </row>
    <row r="2" spans="1:6" ht="14.45" x14ac:dyDescent="0.3">
      <c r="A2" s="7" t="s">
        <v>0</v>
      </c>
      <c r="B2" s="8">
        <v>32000</v>
      </c>
      <c r="C2" s="1"/>
      <c r="D2" s="7" t="s">
        <v>0</v>
      </c>
      <c r="E2" s="8">
        <v>32000</v>
      </c>
    </row>
    <row r="3" spans="1:6" ht="14.45" x14ac:dyDescent="0.3">
      <c r="A3" s="5" t="s">
        <v>1</v>
      </c>
      <c r="B3" s="2">
        <v>0.13</v>
      </c>
      <c r="C3" s="1"/>
      <c r="D3" s="5" t="s">
        <v>1</v>
      </c>
      <c r="E3" s="2">
        <v>0.13</v>
      </c>
    </row>
    <row r="4" spans="1:6" ht="14.45" x14ac:dyDescent="0.3">
      <c r="A4" s="5" t="s">
        <v>2</v>
      </c>
      <c r="B4" s="2">
        <v>8</v>
      </c>
      <c r="C4" s="1"/>
      <c r="D4" s="5" t="s">
        <v>2</v>
      </c>
      <c r="E4" s="2">
        <v>8</v>
      </c>
    </row>
    <row r="5" spans="1:6" ht="14.45" x14ac:dyDescent="0.3">
      <c r="A5" s="5" t="s">
        <v>5</v>
      </c>
      <c r="B5" s="2">
        <v>-6000</v>
      </c>
      <c r="C5" s="1"/>
      <c r="D5" s="5" t="s">
        <v>5</v>
      </c>
      <c r="E5" s="2">
        <v>-6000</v>
      </c>
    </row>
    <row r="6" spans="1:6" ht="14.45" x14ac:dyDescent="0.3">
      <c r="A6" s="99" t="s">
        <v>3</v>
      </c>
      <c r="B6" s="99"/>
      <c r="C6" s="3"/>
      <c r="D6" s="99" t="s">
        <v>3</v>
      </c>
      <c r="E6" s="99"/>
    </row>
    <row r="7" spans="1:6" ht="14.45" x14ac:dyDescent="0.3">
      <c r="A7" s="5" t="s">
        <v>4</v>
      </c>
      <c r="B7" s="6"/>
      <c r="C7" s="1"/>
      <c r="D7" s="5" t="s">
        <v>4</v>
      </c>
      <c r="E7" s="6"/>
    </row>
    <row r="8" spans="1:6" thickBot="1" x14ac:dyDescent="0.35"/>
    <row r="9" spans="1:6" ht="18.600000000000001" thickBot="1" x14ac:dyDescent="0.4">
      <c r="A9" s="103" t="s">
        <v>14</v>
      </c>
      <c r="B9" s="104"/>
      <c r="C9" s="104"/>
      <c r="D9" s="104"/>
      <c r="E9" s="104"/>
      <c r="F9" s="105"/>
    </row>
    <row r="11" spans="1:6" ht="14.45" x14ac:dyDescent="0.3">
      <c r="A11" s="2" t="s">
        <v>7</v>
      </c>
      <c r="B11" s="2">
        <v>0.12</v>
      </c>
      <c r="D11" s="2" t="s">
        <v>7</v>
      </c>
      <c r="E11" s="2">
        <v>0.16</v>
      </c>
    </row>
    <row r="12" spans="1:6" ht="14.45" x14ac:dyDescent="0.3">
      <c r="A12" s="2" t="s">
        <v>8</v>
      </c>
      <c r="B12" s="2">
        <f>B11/12</f>
        <v>0.01</v>
      </c>
      <c r="D12" s="2" t="s">
        <v>8</v>
      </c>
      <c r="E12" s="2">
        <f>E11/12</f>
        <v>1.3333333333333334E-2</v>
      </c>
    </row>
    <row r="13" spans="1:6" ht="14.45" x14ac:dyDescent="0.3">
      <c r="A13" s="2" t="s">
        <v>9</v>
      </c>
      <c r="B13" s="2">
        <v>25</v>
      </c>
      <c r="D13" s="2" t="s">
        <v>9</v>
      </c>
      <c r="E13" s="2">
        <v>8</v>
      </c>
    </row>
    <row r="14" spans="1:6" ht="14.45" x14ac:dyDescent="0.3">
      <c r="A14" s="2" t="s">
        <v>10</v>
      </c>
      <c r="B14" s="2">
        <f>B13*12</f>
        <v>300</v>
      </c>
      <c r="D14" s="2" t="s">
        <v>11</v>
      </c>
      <c r="E14" s="2">
        <v>-100000</v>
      </c>
    </row>
    <row r="15" spans="1:6" ht="14.45" x14ac:dyDescent="0.3">
      <c r="A15" s="2" t="s">
        <v>11</v>
      </c>
      <c r="B15" s="2">
        <v>-5000000</v>
      </c>
      <c r="D15" s="2" t="s">
        <v>12</v>
      </c>
      <c r="E15" s="2">
        <v>0</v>
      </c>
    </row>
    <row r="16" spans="1:6" ht="14.45" x14ac:dyDescent="0.3">
      <c r="A16" s="2" t="s">
        <v>12</v>
      </c>
      <c r="B16" s="2">
        <v>0</v>
      </c>
      <c r="D16" s="2" t="s">
        <v>13</v>
      </c>
      <c r="E16" s="2">
        <v>0</v>
      </c>
    </row>
    <row r="17" spans="1:6" ht="14.45" x14ac:dyDescent="0.3">
      <c r="A17" s="2" t="s">
        <v>13</v>
      </c>
      <c r="B17" s="2">
        <v>1</v>
      </c>
      <c r="D17" s="2" t="s">
        <v>14</v>
      </c>
      <c r="E17" s="9"/>
    </row>
    <row r="18" spans="1:6" ht="14.45" x14ac:dyDescent="0.3">
      <c r="A18" s="2" t="s">
        <v>14</v>
      </c>
      <c r="B18" s="9"/>
    </row>
    <row r="19" spans="1:6" thickBot="1" x14ac:dyDescent="0.35"/>
    <row r="20" spans="1:6" thickBot="1" x14ac:dyDescent="0.35">
      <c r="A20" s="2" t="s">
        <v>8</v>
      </c>
      <c r="B20" s="2">
        <v>1.2999999999999999E-2</v>
      </c>
      <c r="D20" s="26" t="s">
        <v>21</v>
      </c>
    </row>
    <row r="21" spans="1:6" ht="14.45" x14ac:dyDescent="0.3">
      <c r="A21" s="2" t="s">
        <v>15</v>
      </c>
      <c r="B21" s="2">
        <v>8</v>
      </c>
      <c r="D21" s="23"/>
    </row>
    <row r="22" spans="1:6" thickBot="1" x14ac:dyDescent="0.35">
      <c r="A22" s="2" t="s">
        <v>11</v>
      </c>
      <c r="B22" s="2">
        <v>100000</v>
      </c>
      <c r="D22" s="24"/>
    </row>
    <row r="23" spans="1:6" thickBot="1" x14ac:dyDescent="0.35">
      <c r="A23" s="2" t="s">
        <v>12</v>
      </c>
      <c r="B23" s="2">
        <v>0</v>
      </c>
      <c r="D23" s="25" t="s">
        <v>22</v>
      </c>
    </row>
    <row r="24" spans="1:6" ht="14.45" x14ac:dyDescent="0.3">
      <c r="A24" s="2" t="s">
        <v>13</v>
      </c>
      <c r="B24" s="2">
        <v>0</v>
      </c>
      <c r="D24" s="23"/>
    </row>
    <row r="25" spans="1:6" ht="14.45" x14ac:dyDescent="0.3">
      <c r="A25" s="2" t="s">
        <v>14</v>
      </c>
      <c r="B25" s="10"/>
      <c r="D25" s="4"/>
    </row>
    <row r="26" spans="1:6" thickBot="1" x14ac:dyDescent="0.35"/>
    <row r="27" spans="1:6" thickBot="1" x14ac:dyDescent="0.35">
      <c r="A27" s="19" t="s">
        <v>16</v>
      </c>
      <c r="B27" s="20" t="s">
        <v>17</v>
      </c>
      <c r="C27" s="20" t="s">
        <v>14</v>
      </c>
      <c r="D27" s="20" t="s">
        <v>18</v>
      </c>
      <c r="E27" s="20" t="s">
        <v>19</v>
      </c>
      <c r="F27" s="21" t="s">
        <v>20</v>
      </c>
    </row>
    <row r="28" spans="1:6" ht="14.45" x14ac:dyDescent="0.3">
      <c r="A28" s="16">
        <v>1</v>
      </c>
      <c r="B28" s="17">
        <f>B22</f>
        <v>100000</v>
      </c>
      <c r="C28" s="17">
        <f>-$B$25</f>
        <v>0</v>
      </c>
      <c r="D28" s="17"/>
      <c r="E28" s="17"/>
      <c r="F28" s="18"/>
    </row>
    <row r="29" spans="1:6" ht="14.45" x14ac:dyDescent="0.3">
      <c r="A29" s="11">
        <f>A28+1</f>
        <v>2</v>
      </c>
      <c r="B29" s="4">
        <f>F28</f>
        <v>0</v>
      </c>
      <c r="C29" s="4">
        <f t="shared" ref="C29:C35" si="0">-$B$25</f>
        <v>0</v>
      </c>
      <c r="D29" s="4"/>
      <c r="E29" s="4"/>
      <c r="F29" s="12"/>
    </row>
    <row r="30" spans="1:6" ht="14.45" x14ac:dyDescent="0.3">
      <c r="A30" s="11">
        <f t="shared" ref="A30:A35" si="1">A29+1</f>
        <v>3</v>
      </c>
      <c r="B30" s="4">
        <f t="shared" ref="B30:B35" si="2">F29</f>
        <v>0</v>
      </c>
      <c r="C30" s="4">
        <f t="shared" si="0"/>
        <v>0</v>
      </c>
      <c r="D30" s="4"/>
      <c r="E30" s="4"/>
      <c r="F30" s="12"/>
    </row>
    <row r="31" spans="1:6" ht="14.45" x14ac:dyDescent="0.3">
      <c r="A31" s="11">
        <f t="shared" si="1"/>
        <v>4</v>
      </c>
      <c r="B31" s="4">
        <f t="shared" si="2"/>
        <v>0</v>
      </c>
      <c r="C31" s="4">
        <f t="shared" si="0"/>
        <v>0</v>
      </c>
      <c r="D31" s="4"/>
      <c r="E31" s="4"/>
      <c r="F31" s="12"/>
    </row>
    <row r="32" spans="1:6" ht="14.45" x14ac:dyDescent="0.3">
      <c r="A32" s="11">
        <f t="shared" si="1"/>
        <v>5</v>
      </c>
      <c r="B32" s="4">
        <f t="shared" si="2"/>
        <v>0</v>
      </c>
      <c r="C32" s="4">
        <f t="shared" si="0"/>
        <v>0</v>
      </c>
      <c r="D32" s="4"/>
      <c r="E32" s="4"/>
      <c r="F32" s="12"/>
    </row>
    <row r="33" spans="1:6" ht="14.45" x14ac:dyDescent="0.3">
      <c r="A33" s="11">
        <f t="shared" si="1"/>
        <v>6</v>
      </c>
      <c r="B33" s="4">
        <f t="shared" si="2"/>
        <v>0</v>
      </c>
      <c r="C33" s="4">
        <f t="shared" si="0"/>
        <v>0</v>
      </c>
      <c r="D33" s="4"/>
      <c r="E33" s="4"/>
      <c r="F33" s="12"/>
    </row>
    <row r="34" spans="1:6" ht="14.45" x14ac:dyDescent="0.3">
      <c r="A34" s="11">
        <f t="shared" si="1"/>
        <v>7</v>
      </c>
      <c r="B34" s="4">
        <f t="shared" si="2"/>
        <v>0</v>
      </c>
      <c r="C34" s="4">
        <f t="shared" si="0"/>
        <v>0</v>
      </c>
      <c r="D34" s="4"/>
      <c r="E34" s="4"/>
      <c r="F34" s="12"/>
    </row>
    <row r="35" spans="1:6" thickBot="1" x14ac:dyDescent="0.35">
      <c r="A35" s="13">
        <f t="shared" si="1"/>
        <v>8</v>
      </c>
      <c r="B35" s="14">
        <f t="shared" si="2"/>
        <v>0</v>
      </c>
      <c r="C35" s="14">
        <f t="shared" si="0"/>
        <v>0</v>
      </c>
      <c r="D35" s="14"/>
      <c r="E35" s="14"/>
      <c r="F35" s="15"/>
    </row>
    <row r="36" spans="1:6" thickBot="1" x14ac:dyDescent="0.35"/>
    <row r="37" spans="1:6" ht="14.45" x14ac:dyDescent="0.3">
      <c r="A37" s="29" t="s">
        <v>23</v>
      </c>
      <c r="B37" s="30">
        <v>100000</v>
      </c>
    </row>
    <row r="38" spans="1:6" ht="14.45" x14ac:dyDescent="0.3">
      <c r="A38" s="11" t="s">
        <v>24</v>
      </c>
      <c r="B38" s="31">
        <v>15</v>
      </c>
    </row>
    <row r="39" spans="1:6" ht="14.45" x14ac:dyDescent="0.3">
      <c r="A39" s="11" t="s">
        <v>14</v>
      </c>
      <c r="B39" s="31">
        <v>-12000</v>
      </c>
    </row>
    <row r="40" spans="1:6" ht="15.75" thickBot="1" x14ac:dyDescent="0.3">
      <c r="A40" s="13" t="s">
        <v>18</v>
      </c>
      <c r="B40" s="32"/>
    </row>
    <row r="41" spans="1:6" x14ac:dyDescent="0.25">
      <c r="A41" s="36"/>
      <c r="B41" s="37"/>
    </row>
    <row r="42" spans="1:6" ht="16.5" thickBot="1" x14ac:dyDescent="0.3">
      <c r="A42" s="106" t="s">
        <v>25</v>
      </c>
      <c r="B42" s="106"/>
    </row>
    <row r="43" spans="1:6" x14ac:dyDescent="0.25">
      <c r="A43" s="29" t="s">
        <v>23</v>
      </c>
      <c r="B43" s="30">
        <v>100000</v>
      </c>
    </row>
    <row r="44" spans="1:6" x14ac:dyDescent="0.25">
      <c r="A44" s="11" t="s">
        <v>18</v>
      </c>
      <c r="B44" s="34">
        <v>0.1</v>
      </c>
    </row>
    <row r="45" spans="1:6" x14ac:dyDescent="0.25">
      <c r="A45" s="11" t="s">
        <v>14</v>
      </c>
      <c r="B45" s="31">
        <v>-15000</v>
      </c>
    </row>
    <row r="46" spans="1:6" ht="15.75" thickBot="1" x14ac:dyDescent="0.3">
      <c r="A46" s="13" t="s">
        <v>24</v>
      </c>
      <c r="B46" s="35"/>
    </row>
    <row r="47" spans="1:6" x14ac:dyDescent="0.25">
      <c r="A47" s="36"/>
      <c r="B47" s="62"/>
    </row>
    <row r="48" spans="1:6" ht="15.75" x14ac:dyDescent="0.25">
      <c r="A48" s="109" t="s">
        <v>36</v>
      </c>
      <c r="B48" s="109"/>
      <c r="C48" s="109"/>
      <c r="D48" s="109"/>
      <c r="E48" s="109"/>
    </row>
    <row r="50" spans="1:5" x14ac:dyDescent="0.25">
      <c r="A50" s="38" t="s">
        <v>1</v>
      </c>
      <c r="B50" s="69">
        <v>0.2</v>
      </c>
      <c r="C50" s="2"/>
    </row>
    <row r="51" spans="1:5" x14ac:dyDescent="0.25">
      <c r="A51" s="2"/>
      <c r="B51" s="107" t="s">
        <v>26</v>
      </c>
      <c r="C51" s="108"/>
    </row>
    <row r="52" spans="1:5" x14ac:dyDescent="0.25">
      <c r="A52" s="69" t="s">
        <v>27</v>
      </c>
      <c r="B52" s="69" t="s">
        <v>28</v>
      </c>
      <c r="C52" s="69" t="s">
        <v>29</v>
      </c>
    </row>
    <row r="53" spans="1:5" x14ac:dyDescent="0.25">
      <c r="A53" s="2">
        <v>1</v>
      </c>
      <c r="B53" s="2">
        <v>-10000</v>
      </c>
      <c r="C53" s="2">
        <v>-5000</v>
      </c>
    </row>
    <row r="54" spans="1:5" x14ac:dyDescent="0.25">
      <c r="A54" s="2">
        <v>2</v>
      </c>
      <c r="B54" s="2">
        <v>25000</v>
      </c>
      <c r="C54" s="2">
        <v>20000</v>
      </c>
    </row>
    <row r="55" spans="1:5" x14ac:dyDescent="0.25">
      <c r="A55" s="2">
        <v>3</v>
      </c>
      <c r="B55" s="2">
        <v>-7000</v>
      </c>
      <c r="C55" s="2">
        <v>-8000</v>
      </c>
    </row>
    <row r="56" spans="1:5" x14ac:dyDescent="0.25">
      <c r="A56" s="2" t="s">
        <v>30</v>
      </c>
      <c r="B56" s="2"/>
      <c r="C56" s="2"/>
    </row>
    <row r="58" spans="1:5" x14ac:dyDescent="0.25">
      <c r="A58" s="2" t="s">
        <v>31</v>
      </c>
      <c r="B58" s="4"/>
      <c r="C58" s="4"/>
    </row>
    <row r="59" spans="1:5" x14ac:dyDescent="0.25">
      <c r="A59" s="2" t="s">
        <v>32</v>
      </c>
      <c r="B59" s="22"/>
      <c r="C59" s="4"/>
    </row>
    <row r="60" spans="1:5" x14ac:dyDescent="0.25">
      <c r="A60" s="38" t="s">
        <v>33</v>
      </c>
      <c r="B60" s="4"/>
      <c r="C60" s="4"/>
    </row>
    <row r="61" spans="1:5" ht="15.75" thickBot="1" x14ac:dyDescent="0.3"/>
    <row r="62" spans="1:5" x14ac:dyDescent="0.25">
      <c r="A62" s="63" t="s">
        <v>1</v>
      </c>
      <c r="B62" s="64">
        <v>0.2</v>
      </c>
      <c r="D62" s="63" t="s">
        <v>1</v>
      </c>
      <c r="E62" s="64">
        <v>0.2</v>
      </c>
    </row>
    <row r="63" spans="1:5" ht="15.75" thickBot="1" x14ac:dyDescent="0.3">
      <c r="A63" s="67" t="s">
        <v>34</v>
      </c>
      <c r="B63" s="68" t="s">
        <v>26</v>
      </c>
      <c r="D63" s="65" t="s">
        <v>34</v>
      </c>
      <c r="E63" s="66" t="s">
        <v>26</v>
      </c>
    </row>
    <row r="64" spans="1:5" x14ac:dyDescent="0.25">
      <c r="A64" s="41">
        <v>42536</v>
      </c>
      <c r="B64" s="31">
        <v>5000</v>
      </c>
      <c r="D64" s="49">
        <v>42078</v>
      </c>
      <c r="E64" s="50">
        <v>0</v>
      </c>
    </row>
    <row r="65" spans="1:5" x14ac:dyDescent="0.25">
      <c r="A65" s="41">
        <v>42657</v>
      </c>
      <c r="B65" s="31">
        <v>5143</v>
      </c>
      <c r="D65" s="41">
        <v>42536</v>
      </c>
      <c r="E65" s="31">
        <v>5000</v>
      </c>
    </row>
    <row r="66" spans="1:5" x14ac:dyDescent="0.25">
      <c r="A66" s="41">
        <v>42855</v>
      </c>
      <c r="B66" s="31">
        <v>8838</v>
      </c>
      <c r="D66" s="41">
        <v>42657</v>
      </c>
      <c r="E66" s="31">
        <v>5143</v>
      </c>
    </row>
    <row r="67" spans="1:5" x14ac:dyDescent="0.25">
      <c r="A67" s="41">
        <v>42684</v>
      </c>
      <c r="B67" s="31">
        <v>-4893</v>
      </c>
      <c r="D67" s="41">
        <v>42855</v>
      </c>
      <c r="E67" s="31">
        <v>8838</v>
      </c>
    </row>
    <row r="68" spans="1:5" x14ac:dyDescent="0.25">
      <c r="A68" s="41">
        <v>42629</v>
      </c>
      <c r="B68" s="31">
        <v>-2134</v>
      </c>
      <c r="D68" s="41">
        <v>42684</v>
      </c>
      <c r="E68" s="31">
        <v>-4893</v>
      </c>
    </row>
    <row r="69" spans="1:5" x14ac:dyDescent="0.25">
      <c r="A69" s="41">
        <v>42843</v>
      </c>
      <c r="B69" s="31">
        <v>8047</v>
      </c>
      <c r="D69" s="41">
        <v>42629</v>
      </c>
      <c r="E69" s="31">
        <v>-2134</v>
      </c>
    </row>
    <row r="70" spans="1:5" x14ac:dyDescent="0.25">
      <c r="A70" s="41">
        <v>42609</v>
      </c>
      <c r="B70" s="31">
        <v>3908</v>
      </c>
      <c r="D70" s="41">
        <v>42843</v>
      </c>
      <c r="E70" s="31">
        <v>8047</v>
      </c>
    </row>
    <row r="71" spans="1:5" ht="15.75" thickBot="1" x14ac:dyDescent="0.3">
      <c r="A71" s="42">
        <v>42568</v>
      </c>
      <c r="B71" s="43">
        <v>-4007</v>
      </c>
      <c r="D71" s="44">
        <v>42609</v>
      </c>
      <c r="E71" s="45">
        <v>3908</v>
      </c>
    </row>
    <row r="72" spans="1:5" ht="15.75" thickBot="1" x14ac:dyDescent="0.3">
      <c r="D72" s="47">
        <v>42568</v>
      </c>
      <c r="E72" s="48">
        <v>-4007</v>
      </c>
    </row>
    <row r="73" spans="1:5" ht="15.75" thickBot="1" x14ac:dyDescent="0.3">
      <c r="A73" s="39" t="s">
        <v>35</v>
      </c>
      <c r="B73" s="40"/>
      <c r="D73" s="27" t="s">
        <v>35</v>
      </c>
      <c r="E73" s="46"/>
    </row>
    <row r="74" spans="1:5" ht="15.75" thickBot="1" x14ac:dyDescent="0.3"/>
    <row r="75" spans="1:5" ht="15.75" thickBot="1" x14ac:dyDescent="0.3">
      <c r="A75" s="70" t="s">
        <v>26</v>
      </c>
      <c r="B75" s="71" t="s">
        <v>1</v>
      </c>
      <c r="C75" s="72" t="s">
        <v>35</v>
      </c>
    </row>
    <row r="76" spans="1:5" x14ac:dyDescent="0.25">
      <c r="A76" s="59">
        <v>10000</v>
      </c>
      <c r="B76" s="60">
        <v>0.08</v>
      </c>
      <c r="C76" s="61"/>
    </row>
    <row r="77" spans="1:5" x14ac:dyDescent="0.25">
      <c r="A77" s="53">
        <v>-5000</v>
      </c>
      <c r="B77" s="55">
        <v>8.5000000000000006E-2</v>
      </c>
      <c r="C77" s="56"/>
    </row>
    <row r="78" spans="1:5" x14ac:dyDescent="0.25">
      <c r="A78" s="53">
        <v>-8500</v>
      </c>
      <c r="B78" s="55">
        <v>0.09</v>
      </c>
      <c r="C78" s="56"/>
    </row>
    <row r="79" spans="1:5" ht="15.75" thickBot="1" x14ac:dyDescent="0.3">
      <c r="A79" s="54">
        <v>2000</v>
      </c>
      <c r="B79" s="55">
        <v>9.5000000000000001E-2</v>
      </c>
      <c r="C79" s="56"/>
    </row>
    <row r="80" spans="1:5" x14ac:dyDescent="0.25">
      <c r="A80" s="36"/>
      <c r="B80" s="55">
        <v>0.1</v>
      </c>
      <c r="C80" s="56"/>
    </row>
    <row r="81" spans="1:6" x14ac:dyDescent="0.25">
      <c r="A81" s="36"/>
      <c r="B81" s="55">
        <v>0.1053</v>
      </c>
      <c r="C81" s="56"/>
    </row>
    <row r="82" spans="1:6" x14ac:dyDescent="0.25">
      <c r="A82" s="36"/>
      <c r="B82" s="55">
        <v>0.11</v>
      </c>
      <c r="C82" s="56"/>
    </row>
    <row r="83" spans="1:6" x14ac:dyDescent="0.25">
      <c r="A83" s="36"/>
      <c r="B83" s="55">
        <v>0.115</v>
      </c>
      <c r="C83" s="56"/>
    </row>
    <row r="84" spans="1:6" ht="15.75" thickBot="1" x14ac:dyDescent="0.3">
      <c r="A84" s="36"/>
      <c r="B84" s="57">
        <v>0.12</v>
      </c>
      <c r="C84" s="58"/>
    </row>
    <row r="85" spans="1:6" x14ac:dyDescent="0.25">
      <c r="B85" s="51"/>
    </row>
    <row r="86" spans="1:6" ht="15.75" x14ac:dyDescent="0.25">
      <c r="A86" s="98" t="s">
        <v>38</v>
      </c>
      <c r="B86" s="98"/>
      <c r="C86" s="98"/>
      <c r="D86" s="98"/>
      <c r="E86" s="98"/>
      <c r="F86" s="98"/>
    </row>
    <row r="87" spans="1:6" ht="15.75" thickBot="1" x14ac:dyDescent="0.3"/>
    <row r="88" spans="1:6" ht="15.75" thickBot="1" x14ac:dyDescent="0.3">
      <c r="A88" s="69" t="s">
        <v>37</v>
      </c>
      <c r="C88" s="94" t="s">
        <v>37</v>
      </c>
      <c r="D88" s="71" t="s">
        <v>39</v>
      </c>
      <c r="E88" s="95" t="s">
        <v>38</v>
      </c>
    </row>
    <row r="89" spans="1:6" x14ac:dyDescent="0.25">
      <c r="A89" s="2">
        <v>10000</v>
      </c>
      <c r="C89" s="75">
        <v>10000</v>
      </c>
      <c r="D89" s="16"/>
      <c r="E89" s="76"/>
    </row>
    <row r="90" spans="1:6" x14ac:dyDescent="0.25">
      <c r="A90" s="2">
        <v>-5000</v>
      </c>
      <c r="C90" s="74">
        <v>-5000</v>
      </c>
      <c r="D90" s="11">
        <v>0.05</v>
      </c>
      <c r="E90" s="77"/>
    </row>
    <row r="91" spans="1:6" x14ac:dyDescent="0.25">
      <c r="A91" s="2">
        <v>-8500</v>
      </c>
      <c r="C91" s="74">
        <v>-8500</v>
      </c>
      <c r="D91" s="11">
        <v>0.15</v>
      </c>
      <c r="E91" s="77"/>
    </row>
    <row r="92" spans="1:6" x14ac:dyDescent="0.25">
      <c r="A92" s="2">
        <v>2000</v>
      </c>
      <c r="C92" s="74">
        <v>2000</v>
      </c>
      <c r="D92" s="11">
        <v>0.2</v>
      </c>
      <c r="E92" s="77"/>
    </row>
    <row r="93" spans="1:6" ht="15.75" thickBot="1" x14ac:dyDescent="0.3">
      <c r="D93" s="11">
        <v>0.25</v>
      </c>
      <c r="E93" s="77"/>
    </row>
    <row r="94" spans="1:6" ht="15.75" thickBot="1" x14ac:dyDescent="0.3">
      <c r="A94" s="96" t="s">
        <v>38</v>
      </c>
      <c r="D94" s="11">
        <v>0.3</v>
      </c>
      <c r="E94" s="77"/>
    </row>
    <row r="95" spans="1:6" ht="15.75" thickBot="1" x14ac:dyDescent="0.3">
      <c r="A95" s="73">
        <f>IRR(A89:A92)</f>
        <v>0.1053100591867342</v>
      </c>
      <c r="D95" s="11">
        <v>0.35</v>
      </c>
      <c r="E95" s="77"/>
    </row>
    <row r="96" spans="1:6" x14ac:dyDescent="0.25">
      <c r="D96" s="11">
        <v>0.4</v>
      </c>
      <c r="E96" s="77"/>
    </row>
    <row r="97" spans="1:5" x14ac:dyDescent="0.25">
      <c r="D97" s="11">
        <v>0.45</v>
      </c>
      <c r="E97" s="77"/>
    </row>
    <row r="98" spans="1:5" x14ac:dyDescent="0.25">
      <c r="D98" s="11">
        <v>0.5</v>
      </c>
      <c r="E98" s="77"/>
    </row>
    <row r="99" spans="1:5" ht="15.75" thickBot="1" x14ac:dyDescent="0.3">
      <c r="D99" s="13">
        <v>0.55000000000000004</v>
      </c>
      <c r="E99" s="78"/>
    </row>
    <row r="101" spans="1:5" ht="15.75" thickBot="1" x14ac:dyDescent="0.3"/>
    <row r="102" spans="1:5" ht="15.75" thickBot="1" x14ac:dyDescent="0.3">
      <c r="A102" s="97" t="s">
        <v>37</v>
      </c>
      <c r="B102" s="19" t="s">
        <v>39</v>
      </c>
      <c r="C102" s="21" t="s">
        <v>38</v>
      </c>
    </row>
    <row r="103" spans="1:5" x14ac:dyDescent="0.25">
      <c r="A103" s="75">
        <v>-20000</v>
      </c>
      <c r="B103" s="16"/>
      <c r="C103" s="76"/>
    </row>
    <row r="104" spans="1:5" x14ac:dyDescent="0.25">
      <c r="A104" s="74">
        <v>82000</v>
      </c>
      <c r="B104" s="55">
        <v>0.15</v>
      </c>
      <c r="C104" s="77"/>
    </row>
    <row r="105" spans="1:5" x14ac:dyDescent="0.25">
      <c r="A105" s="74">
        <v>-60000</v>
      </c>
      <c r="B105" s="55">
        <v>0.2</v>
      </c>
      <c r="C105" s="77"/>
    </row>
    <row r="106" spans="1:5" x14ac:dyDescent="0.25">
      <c r="A106" s="74">
        <v>2000</v>
      </c>
      <c r="B106" s="55">
        <v>0.25</v>
      </c>
      <c r="C106" s="77"/>
    </row>
    <row r="107" spans="1:5" x14ac:dyDescent="0.25">
      <c r="B107" s="55">
        <v>0.3</v>
      </c>
      <c r="C107" s="77"/>
    </row>
    <row r="108" spans="1:5" x14ac:dyDescent="0.25">
      <c r="B108" s="55">
        <v>0.35</v>
      </c>
      <c r="C108" s="77"/>
    </row>
    <row r="109" spans="1:5" x14ac:dyDescent="0.25">
      <c r="B109" s="55">
        <v>0.4</v>
      </c>
      <c r="C109" s="77"/>
    </row>
    <row r="110" spans="1:5" x14ac:dyDescent="0.25">
      <c r="B110" s="55">
        <v>0.45</v>
      </c>
      <c r="C110" s="77"/>
    </row>
    <row r="111" spans="1:5" x14ac:dyDescent="0.25">
      <c r="B111" s="55">
        <v>0.5</v>
      </c>
      <c r="C111" s="77"/>
    </row>
    <row r="112" spans="1:5" x14ac:dyDescent="0.25">
      <c r="B112" s="55">
        <v>0.55000000000000004</v>
      </c>
      <c r="C112" s="77"/>
    </row>
    <row r="113" spans="1:3" ht="15.75" thickBot="1" x14ac:dyDescent="0.3">
      <c r="B113" s="57">
        <v>0.6</v>
      </c>
      <c r="C113" s="77"/>
    </row>
    <row r="115" spans="1:3" ht="15.75" thickBot="1" x14ac:dyDescent="0.3"/>
    <row r="116" spans="1:3" ht="15.75" thickBot="1" x14ac:dyDescent="0.3">
      <c r="A116" s="70" t="s">
        <v>37</v>
      </c>
      <c r="B116" s="71" t="s">
        <v>39</v>
      </c>
      <c r="C116" s="95" t="s">
        <v>38</v>
      </c>
    </row>
    <row r="117" spans="1:3" x14ac:dyDescent="0.25">
      <c r="A117" s="75">
        <v>10000</v>
      </c>
      <c r="B117" s="16"/>
      <c r="C117" s="81"/>
    </row>
    <row r="118" spans="1:3" x14ac:dyDescent="0.25">
      <c r="A118" s="74">
        <v>-5000</v>
      </c>
      <c r="B118" s="11">
        <v>0.05</v>
      </c>
      <c r="C118" s="33"/>
    </row>
    <row r="119" spans="1:3" x14ac:dyDescent="0.25">
      <c r="A119" s="74">
        <v>8500</v>
      </c>
      <c r="B119" s="11">
        <v>0.15</v>
      </c>
      <c r="C119" s="33"/>
    </row>
    <row r="120" spans="1:3" x14ac:dyDescent="0.25">
      <c r="A120" s="74">
        <v>2000</v>
      </c>
      <c r="B120" s="11">
        <v>0.2</v>
      </c>
      <c r="C120" s="33"/>
    </row>
    <row r="121" spans="1:3" x14ac:dyDescent="0.25">
      <c r="B121" s="11">
        <v>0.25</v>
      </c>
      <c r="C121" s="33"/>
    </row>
    <row r="122" spans="1:3" x14ac:dyDescent="0.25">
      <c r="B122" s="11">
        <v>0.3</v>
      </c>
      <c r="C122" s="33"/>
    </row>
    <row r="123" spans="1:3" x14ac:dyDescent="0.25">
      <c r="B123" s="11">
        <v>0.35</v>
      </c>
      <c r="C123" s="33"/>
    </row>
    <row r="124" spans="1:3" x14ac:dyDescent="0.25">
      <c r="B124" s="11">
        <v>0.4</v>
      </c>
      <c r="C124" s="33"/>
    </row>
    <row r="125" spans="1:3" x14ac:dyDescent="0.25">
      <c r="B125" s="11">
        <v>0.45</v>
      </c>
      <c r="C125" s="33"/>
    </row>
    <row r="126" spans="1:3" x14ac:dyDescent="0.25">
      <c r="B126" s="11">
        <v>0.5</v>
      </c>
      <c r="C126" s="33"/>
    </row>
    <row r="127" spans="1:3" ht="15.75" thickBot="1" x14ac:dyDescent="0.3">
      <c r="B127" s="13">
        <v>0.55000000000000004</v>
      </c>
      <c r="C127" s="32"/>
    </row>
    <row r="129" spans="1:6" x14ac:dyDescent="0.25">
      <c r="A129" s="69" t="s">
        <v>40</v>
      </c>
      <c r="B129" s="69" t="s">
        <v>41</v>
      </c>
      <c r="C129" s="69" t="s">
        <v>42</v>
      </c>
      <c r="E129" s="69" t="s">
        <v>34</v>
      </c>
      <c r="F129" s="69" t="s">
        <v>26</v>
      </c>
    </row>
    <row r="130" spans="1:6" x14ac:dyDescent="0.25">
      <c r="A130" s="2">
        <v>0</v>
      </c>
      <c r="B130" s="38">
        <v>-1000</v>
      </c>
      <c r="C130" s="2">
        <v>-1000</v>
      </c>
      <c r="E130" s="87">
        <v>42220</v>
      </c>
      <c r="F130" s="38">
        <v>-10000</v>
      </c>
    </row>
    <row r="131" spans="1:6" x14ac:dyDescent="0.25">
      <c r="A131" s="2">
        <v>1</v>
      </c>
      <c r="B131" s="38">
        <v>0</v>
      </c>
      <c r="C131" s="2">
        <v>400</v>
      </c>
      <c r="E131" s="88" t="s">
        <v>43</v>
      </c>
      <c r="F131" s="38">
        <v>4000</v>
      </c>
    </row>
    <row r="132" spans="1:6" x14ac:dyDescent="0.25">
      <c r="A132" s="2">
        <v>2</v>
      </c>
      <c r="B132" s="38">
        <v>200</v>
      </c>
      <c r="C132" s="2">
        <v>400</v>
      </c>
      <c r="E132" s="88" t="s">
        <v>44</v>
      </c>
      <c r="F132" s="38">
        <v>3000</v>
      </c>
    </row>
    <row r="133" spans="1:6" x14ac:dyDescent="0.25">
      <c r="A133" s="2">
        <v>3</v>
      </c>
      <c r="B133" s="38">
        <v>300</v>
      </c>
      <c r="C133" s="2">
        <v>300</v>
      </c>
      <c r="E133" s="88" t="s">
        <v>45</v>
      </c>
      <c r="F133" s="38">
        <v>5000</v>
      </c>
    </row>
    <row r="134" spans="1:6" ht="15.75" thickBot="1" x14ac:dyDescent="0.3">
      <c r="A134" s="2">
        <v>4</v>
      </c>
      <c r="B134" s="38">
        <v>500</v>
      </c>
      <c r="C134" s="2">
        <v>300</v>
      </c>
    </row>
    <row r="135" spans="1:6" ht="15.75" thickBot="1" x14ac:dyDescent="0.3">
      <c r="A135" s="52">
        <v>5</v>
      </c>
      <c r="B135" s="82">
        <v>900</v>
      </c>
      <c r="C135" s="52">
        <v>200</v>
      </c>
      <c r="E135" s="71" t="s">
        <v>46</v>
      </c>
      <c r="F135" s="89">
        <v>0.26419999999999999</v>
      </c>
    </row>
    <row r="136" spans="1:6" ht="15.75" thickBot="1" x14ac:dyDescent="0.3">
      <c r="A136" s="71" t="s">
        <v>38</v>
      </c>
      <c r="B136" s="83"/>
      <c r="C136" s="84"/>
    </row>
    <row r="137" spans="1:6" ht="15.75" thickBot="1" x14ac:dyDescent="0.3">
      <c r="A137" s="71" t="s">
        <v>35</v>
      </c>
      <c r="B137" s="85">
        <v>815.89</v>
      </c>
      <c r="C137" s="86">
        <v>552.4</v>
      </c>
    </row>
    <row r="140" spans="1:6" x14ac:dyDescent="0.25">
      <c r="A140" s="69" t="s">
        <v>47</v>
      </c>
      <c r="B140" s="28">
        <v>0.1</v>
      </c>
    </row>
    <row r="141" spans="1:6" x14ac:dyDescent="0.25">
      <c r="A141" s="69" t="s">
        <v>48</v>
      </c>
      <c r="B141" s="28">
        <v>0.12</v>
      </c>
    </row>
    <row r="143" spans="1:6" x14ac:dyDescent="0.25">
      <c r="A143" s="69" t="s">
        <v>40</v>
      </c>
      <c r="B143" s="69" t="s">
        <v>26</v>
      </c>
    </row>
    <row r="144" spans="1:6" x14ac:dyDescent="0.25">
      <c r="A144" s="2">
        <v>0</v>
      </c>
      <c r="B144" s="2">
        <v>-1.6</v>
      </c>
    </row>
    <row r="145" spans="1:2" x14ac:dyDescent="0.25">
      <c r="A145" s="2">
        <v>1</v>
      </c>
      <c r="B145" s="2">
        <v>10</v>
      </c>
    </row>
    <row r="146" spans="1:2" x14ac:dyDescent="0.25">
      <c r="A146" s="2">
        <v>2</v>
      </c>
      <c r="B146" s="2">
        <v>-10</v>
      </c>
    </row>
    <row r="147" spans="1:2" ht="15.75" thickBot="1" x14ac:dyDescent="0.3"/>
    <row r="148" spans="1:2" ht="15.75" thickBot="1" x14ac:dyDescent="0.3">
      <c r="A148" s="71" t="s">
        <v>49</v>
      </c>
      <c r="B148" s="95" t="s">
        <v>35</v>
      </c>
    </row>
    <row r="149" spans="1:2" x14ac:dyDescent="0.25">
      <c r="A149" s="90">
        <v>0.1</v>
      </c>
      <c r="B149" s="91"/>
    </row>
    <row r="150" spans="1:2" x14ac:dyDescent="0.25">
      <c r="A150" s="79">
        <v>0.25</v>
      </c>
      <c r="B150" s="92"/>
    </row>
    <row r="151" spans="1:2" x14ac:dyDescent="0.25">
      <c r="A151" s="79">
        <v>1.1000000000000001</v>
      </c>
      <c r="B151" s="92"/>
    </row>
    <row r="152" spans="1:2" x14ac:dyDescent="0.25">
      <c r="A152" s="79">
        <v>4</v>
      </c>
      <c r="B152" s="92"/>
    </row>
    <row r="153" spans="1:2" ht="15.75" thickBot="1" x14ac:dyDescent="0.3">
      <c r="A153" s="80">
        <v>5</v>
      </c>
      <c r="B153" s="93"/>
    </row>
    <row r="155" spans="1:2" x14ac:dyDescent="0.25">
      <c r="A155" s="69" t="s">
        <v>50</v>
      </c>
      <c r="B155" s="28"/>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Information</vt:lpstr>
      <vt:lpstr>Project Worksheets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Abir Acharya</cp:lastModifiedBy>
  <dcterms:created xsi:type="dcterms:W3CDTF">2023-06-15T04:20:27Z</dcterms:created>
  <dcterms:modified xsi:type="dcterms:W3CDTF">2025-10-08T12:14:35Z</dcterms:modified>
</cp:coreProperties>
</file>